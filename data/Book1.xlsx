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onc\OneDrive\Desktop\RSN Group UWB Project\eece5554-final-project\data\"/>
    </mc:Choice>
  </mc:AlternateContent>
  <xr:revisionPtr revIDLastSave="0" documentId="8_{BB9DCFE8-5974-4D34-8BE5-3371DE88B959}" xr6:coauthVersionLast="47" xr6:coauthVersionMax="47" xr10:uidLastSave="{00000000-0000-0000-0000-000000000000}"/>
  <bookViews>
    <workbookView xWindow="-90" yWindow="-90" windowWidth="19380" windowHeight="11460" xr2:uid="{ECF9459F-14D8-4B26-8035-2E30A54B0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5" i="1" l="1"/>
  <c r="F24" i="1"/>
</calcChain>
</file>

<file path=xl/sharedStrings.xml><?xml version="1.0" encoding="utf-8"?>
<sst xmlns="http://schemas.openxmlformats.org/spreadsheetml/2006/main" count="55" uniqueCount="32">
  <si>
    <t>cm</t>
  </si>
  <si>
    <t>id0</t>
  </si>
  <si>
    <t>id1</t>
  </si>
  <si>
    <t>id2</t>
  </si>
  <si>
    <t>calibration data</t>
  </si>
  <si>
    <t>anchor locations</t>
  </si>
  <si>
    <t>corner 1</t>
  </si>
  <si>
    <t>corner 2</t>
  </si>
  <si>
    <t>corner 3</t>
  </si>
  <si>
    <t>corner 4</t>
  </si>
  <si>
    <t>robot origin</t>
  </si>
  <si>
    <t>x (ft)</t>
  </si>
  <si>
    <t>y (ft)</t>
  </si>
  <si>
    <t>theta (degree)</t>
  </si>
  <si>
    <t>pose</t>
  </si>
  <si>
    <t>TEST</t>
  </si>
  <si>
    <t>A</t>
  </si>
  <si>
    <t>B</t>
  </si>
  <si>
    <t>C</t>
  </si>
  <si>
    <t>D</t>
  </si>
  <si>
    <t>E</t>
  </si>
  <si>
    <t>Data Collected</t>
  </si>
  <si>
    <t>Ground Truth</t>
  </si>
  <si>
    <t>ground truth (ft)</t>
  </si>
  <si>
    <t>id0 (cm)</t>
  </si>
  <si>
    <t>id1 (cm)</t>
  </si>
  <si>
    <t>id2 (cm)</t>
  </si>
  <si>
    <t>robot geometry</t>
  </si>
  <si>
    <t>corner</t>
  </si>
  <si>
    <t>relative to defined origin</t>
  </si>
  <si>
    <t>x (in)</t>
  </si>
  <si>
    <t>y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</si>
</sst>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3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4" borderId="6" xfId="0" applyFill="1" applyBorder="1"/>
    <xf numFmtId="0" fontId="0" fillId="2" borderId="7" xfId="0" applyFill="1" applyBorder="1"/>
    <xf numFmtId="0" fontId="0" fillId="4" borderId="8" xfId="0" applyFill="1" applyBorder="1"/>
    <xf numFmtId="0" fontId="0" fillId="2" borderId="9" xfId="0" applyFill="1" applyBorder="1"/>
    <xf numFmtId="0" fontId="0" fillId="3" borderId="10" xfId="0" applyFill="1" applyBorder="1"/>
    <xf numFmtId="0" fontId="0" fillId="4" borderId="11" xfId="0" applyFill="1" applyBorder="1"/>
    <xf numFmtId="0" fontId="0" fillId="2" borderId="12" xfId="0" applyFill="1" applyBorder="1"/>
    <xf numFmtId="0" fontId="0" fillId="3" borderId="13" xfId="0" applyFill="1" applyBorder="1"/>
    <xf numFmtId="0" fontId="0" fillId="4" borderId="14" xfId="0" applyFill="1" applyBorder="1"/>
    <xf numFmtId="0" fontId="1" fillId="2" borderId="15" xfId="0" applyFont="1" applyFill="1" applyBorder="1"/>
    <xf numFmtId="0" fontId="1" fillId="3" borderId="16" xfId="0" applyFont="1" applyFill="1" applyBorder="1"/>
    <xf numFmtId="0" fontId="1" fillId="4" borderId="17" xfId="0" applyFont="1" applyFill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2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9" xfId="0" applyFill="1" applyBorder="1"/>
    <xf numFmtId="0" fontId="1" fillId="2" borderId="29" xfId="0" applyFont="1" applyFill="1" applyBorder="1"/>
    <xf numFmtId="0" fontId="1" fillId="3" borderId="30" xfId="0" applyFont="1" applyFill="1" applyBorder="1"/>
    <xf numFmtId="0" fontId="1" fillId="4" borderId="31" xfId="0" applyFont="1" applyFill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6" xfId="0" applyFont="1" applyBorder="1"/>
    <xf numFmtId="0" fontId="0" fillId="2" borderId="32" xfId="0" applyFill="1" applyBorder="1"/>
    <xf numFmtId="0" fontId="0" fillId="2" borderId="33" xfId="0" applyFill="1" applyBorder="1"/>
    <xf numFmtId="0" fontId="1" fillId="0" borderId="2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0" xfId="0" applyFont="1" applyBorder="1"/>
    <xf numFmtId="0" fontId="0" fillId="0" borderId="22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C2C4-62D6-4550-AD26-EC19A6843912}">
  <dimension ref="B1:V30"/>
  <sheetViews>
    <sheetView tabSelected="1" zoomScale="77" workbookViewId="0">
      <selection activeCell="S6" sqref="S6"/>
    </sheetView>
  </sheetViews>
  <sheetFormatPr defaultRowHeight="14.75" x14ac:dyDescent="0.75"/>
  <cols>
    <col min="2" max="2" width="13.76953125" bestFit="1" customWidth="1"/>
    <col min="3" max="3" width="10.1796875" bestFit="1" customWidth="1"/>
    <col min="4" max="4" width="7.453125" bestFit="1" customWidth="1"/>
    <col min="5" max="5" width="12.26953125" bestFit="1" customWidth="1"/>
    <col min="6" max="6" width="9.1796875" style="24" customWidth="1"/>
    <col min="7" max="7" width="9.1796875" customWidth="1"/>
    <col min="12" max="12" width="11.5" bestFit="1" customWidth="1"/>
    <col min="13" max="13" width="10.1796875" bestFit="1" customWidth="1"/>
    <col min="15" max="15" width="11.76953125" customWidth="1"/>
  </cols>
  <sheetData>
    <row r="1" spans="2:22" ht="15.5" thickBot="1" x14ac:dyDescent="0.9"/>
    <row r="2" spans="2:22" x14ac:dyDescent="0.75">
      <c r="B2" s="20"/>
      <c r="C2" s="21" t="s">
        <v>4</v>
      </c>
      <c r="D2" s="21"/>
      <c r="E2" s="21"/>
      <c r="F2" s="21"/>
      <c r="G2" s="22"/>
      <c r="H2" s="20"/>
      <c r="I2" s="46" t="s">
        <v>5</v>
      </c>
      <c r="J2" s="46"/>
      <c r="K2" s="21"/>
      <c r="L2" s="22"/>
      <c r="M2" s="20"/>
      <c r="N2" s="46" t="s">
        <v>27</v>
      </c>
      <c r="O2" s="46"/>
      <c r="P2" s="21"/>
      <c r="Q2" s="22"/>
    </row>
    <row r="3" spans="2:22" x14ac:dyDescent="0.75">
      <c r="B3" s="23"/>
      <c r="C3" s="24"/>
      <c r="D3" s="24"/>
      <c r="E3" s="24"/>
      <c r="G3" s="25"/>
      <c r="H3" s="23"/>
      <c r="I3" s="24"/>
      <c r="J3" s="24"/>
      <c r="K3" s="24"/>
      <c r="L3" s="25"/>
      <c r="M3" s="23"/>
      <c r="N3" s="47" t="s">
        <v>29</v>
      </c>
      <c r="O3" s="47"/>
      <c r="P3" s="24"/>
      <c r="Q3" s="25"/>
    </row>
    <row r="4" spans="2:22" ht="15.5" thickBot="1" x14ac:dyDescent="0.9">
      <c r="B4" s="23"/>
      <c r="C4" s="45"/>
      <c r="D4" s="45"/>
      <c r="E4" s="45"/>
      <c r="F4" s="45"/>
      <c r="G4" s="25"/>
      <c r="H4" s="23"/>
      <c r="I4" s="24"/>
      <c r="J4" s="24"/>
      <c r="K4" s="24"/>
      <c r="L4" s="25"/>
      <c r="M4" s="23"/>
      <c r="N4" s="24"/>
      <c r="O4" s="24"/>
      <c r="P4" s="24"/>
      <c r="Q4" s="25"/>
    </row>
    <row r="5" spans="2:22" ht="15.5" thickBot="1" x14ac:dyDescent="0.9">
      <c r="B5" s="23"/>
      <c r="C5" s="42" t="s">
        <v>23</v>
      </c>
      <c r="D5" s="36" t="s">
        <v>24</v>
      </c>
      <c r="E5" s="36" t="s">
        <v>25</v>
      </c>
      <c r="F5" s="37" t="s">
        <v>26</v>
      </c>
      <c r="G5" s="25"/>
      <c r="H5" s="23"/>
      <c r="I5" s="45"/>
      <c r="J5" s="43" t="s">
        <v>11</v>
      </c>
      <c r="K5" s="44" t="s">
        <v>12</v>
      </c>
      <c r="L5" s="25"/>
      <c r="M5" s="23"/>
      <c r="N5" s="42" t="s">
        <v>28</v>
      </c>
      <c r="O5" s="36" t="s">
        <v>30</v>
      </c>
      <c r="P5" s="37" t="s">
        <v>31</v>
      </c>
      <c r="Q5" s="25"/>
    </row>
    <row r="6" spans="2:22" x14ac:dyDescent="0.75">
      <c r="B6" s="23"/>
      <c r="C6" s="18">
        <v>2</v>
      </c>
      <c r="D6" s="40">
        <v>48</v>
      </c>
      <c r="E6" s="4">
        <v>48</v>
      </c>
      <c r="F6" s="5">
        <v>43</v>
      </c>
      <c r="G6" s="25"/>
      <c r="H6" s="23"/>
      <c r="I6" s="33" t="s">
        <v>1</v>
      </c>
      <c r="J6" s="3">
        <v>0</v>
      </c>
      <c r="K6" s="29">
        <v>0</v>
      </c>
      <c r="L6" s="25"/>
      <c r="M6" s="23"/>
      <c r="N6" s="38">
        <v>1</v>
      </c>
      <c r="O6" s="20">
        <v>20</v>
      </c>
      <c r="P6" s="22">
        <v>-7</v>
      </c>
      <c r="Q6" s="25"/>
    </row>
    <row r="7" spans="2:22" x14ac:dyDescent="0.75">
      <c r="B7" s="23"/>
      <c r="C7" s="18">
        <v>4</v>
      </c>
      <c r="D7" s="2">
        <v>111</v>
      </c>
      <c r="E7" s="1">
        <v>110</v>
      </c>
      <c r="F7" s="7">
        <v>105</v>
      </c>
      <c r="G7" s="25"/>
      <c r="H7" s="23"/>
      <c r="I7" s="34" t="s">
        <v>2</v>
      </c>
      <c r="J7" s="30">
        <v>0</v>
      </c>
      <c r="K7" s="31">
        <v>4.5</v>
      </c>
      <c r="L7" s="25"/>
      <c r="M7" s="23"/>
      <c r="N7" s="38">
        <v>2</v>
      </c>
      <c r="O7" s="23">
        <v>20</v>
      </c>
      <c r="P7" s="25">
        <v>7</v>
      </c>
      <c r="Q7" s="25"/>
    </row>
    <row r="8" spans="2:22" ht="15.5" thickBot="1" x14ac:dyDescent="0.9">
      <c r="B8" s="23"/>
      <c r="C8" s="18">
        <v>6</v>
      </c>
      <c r="D8" s="2">
        <v>165</v>
      </c>
      <c r="E8" s="1">
        <v>174</v>
      </c>
      <c r="F8" s="7">
        <v>177</v>
      </c>
      <c r="G8" s="25"/>
      <c r="H8" s="23"/>
      <c r="I8" s="35" t="s">
        <v>3</v>
      </c>
      <c r="J8" s="32">
        <v>4.5</v>
      </c>
      <c r="K8" s="10">
        <v>0</v>
      </c>
      <c r="L8" s="25"/>
      <c r="M8" s="23"/>
      <c r="N8" s="38">
        <v>3</v>
      </c>
      <c r="O8" s="23">
        <v>0</v>
      </c>
      <c r="P8" s="25">
        <v>7</v>
      </c>
      <c r="Q8" s="25"/>
    </row>
    <row r="9" spans="2:22" ht="15.5" thickBot="1" x14ac:dyDescent="0.9">
      <c r="B9" s="23"/>
      <c r="C9" s="18">
        <v>8</v>
      </c>
      <c r="D9" s="2">
        <v>228</v>
      </c>
      <c r="E9" s="1">
        <v>228</v>
      </c>
      <c r="F9" s="7">
        <v>225</v>
      </c>
      <c r="G9" s="25"/>
      <c r="H9" s="23"/>
      <c r="I9" s="24"/>
      <c r="J9" s="24"/>
      <c r="K9" s="24"/>
      <c r="L9" s="25"/>
      <c r="M9" s="23"/>
      <c r="N9" s="39">
        <v>4</v>
      </c>
      <c r="O9" s="26">
        <v>0</v>
      </c>
      <c r="P9" s="28">
        <v>-7</v>
      </c>
      <c r="Q9" s="25"/>
    </row>
    <row r="10" spans="2:22" x14ac:dyDescent="0.75">
      <c r="B10" s="23"/>
      <c r="C10" s="18">
        <v>10</v>
      </c>
      <c r="D10" s="2">
        <v>288</v>
      </c>
      <c r="E10" s="1">
        <v>288</v>
      </c>
      <c r="F10" s="7">
        <v>306</v>
      </c>
      <c r="G10" s="25"/>
      <c r="H10" s="23"/>
      <c r="I10" s="24"/>
      <c r="J10" s="24"/>
      <c r="K10" s="24"/>
      <c r="L10" s="25"/>
      <c r="M10" s="23"/>
      <c r="N10" s="24"/>
      <c r="O10" s="24"/>
      <c r="P10" s="24"/>
      <c r="Q10" s="25"/>
    </row>
    <row r="11" spans="2:22" x14ac:dyDescent="0.75">
      <c r="B11" s="23"/>
      <c r="C11" s="18">
        <v>12</v>
      </c>
      <c r="D11" s="2">
        <v>356</v>
      </c>
      <c r="E11" s="1">
        <v>352</v>
      </c>
      <c r="F11" s="7">
        <v>393</v>
      </c>
      <c r="G11" s="25"/>
      <c r="H11" s="23"/>
      <c r="I11" s="24"/>
      <c r="J11" s="24"/>
      <c r="K11" s="24"/>
      <c r="L11" s="25"/>
      <c r="M11" s="23"/>
      <c r="N11" s="24"/>
      <c r="O11" s="24"/>
      <c r="P11" s="24"/>
      <c r="Q11" s="25"/>
    </row>
    <row r="12" spans="2:22" x14ac:dyDescent="0.75">
      <c r="B12" s="23"/>
      <c r="C12" s="18">
        <v>14</v>
      </c>
      <c r="D12" s="2">
        <v>420</v>
      </c>
      <c r="E12" s="1">
        <v>427</v>
      </c>
      <c r="F12" s="7">
        <v>424</v>
      </c>
      <c r="G12" s="25"/>
      <c r="H12" s="23"/>
      <c r="I12" s="24"/>
      <c r="J12" s="24"/>
      <c r="K12" s="24"/>
      <c r="L12" s="25"/>
      <c r="M12" s="23"/>
      <c r="N12" s="24"/>
      <c r="O12" s="24"/>
      <c r="P12" s="24"/>
      <c r="Q12" s="25"/>
    </row>
    <row r="13" spans="2:22" x14ac:dyDescent="0.75">
      <c r="B13" s="23"/>
      <c r="C13" s="18">
        <v>16</v>
      </c>
      <c r="D13" s="2">
        <v>483</v>
      </c>
      <c r="E13" s="1">
        <v>463</v>
      </c>
      <c r="F13" s="7">
        <v>491</v>
      </c>
      <c r="G13" s="25"/>
      <c r="H13" s="23"/>
      <c r="I13" s="24"/>
      <c r="J13" s="24"/>
      <c r="K13" s="24"/>
      <c r="L13" s="25"/>
      <c r="M13" s="23"/>
      <c r="N13" s="24"/>
      <c r="O13" s="24"/>
      <c r="P13" s="24"/>
      <c r="Q13" s="25"/>
    </row>
    <row r="14" spans="2:22" x14ac:dyDescent="0.75">
      <c r="B14" s="23"/>
      <c r="C14" s="18">
        <v>18</v>
      </c>
      <c r="D14" s="2">
        <v>552</v>
      </c>
      <c r="E14" s="1">
        <v>564</v>
      </c>
      <c r="F14" s="7">
        <v>590</v>
      </c>
      <c r="G14" s="25"/>
      <c r="H14" s="23"/>
      <c r="I14" s="24"/>
      <c r="J14" s="24"/>
      <c r="K14" s="24"/>
      <c r="L14" s="25"/>
      <c r="M14" s="23"/>
      <c r="N14" s="24"/>
      <c r="O14" s="24"/>
      <c r="P14" s="24"/>
      <c r="Q14" s="25"/>
    </row>
    <row r="15" spans="2:22" ht="15.5" thickBot="1" x14ac:dyDescent="0.9">
      <c r="B15" s="23"/>
      <c r="C15" s="19">
        <v>20</v>
      </c>
      <c r="D15" s="41">
        <v>650</v>
      </c>
      <c r="E15" s="9">
        <v>630</v>
      </c>
      <c r="F15" s="10">
        <v>611</v>
      </c>
      <c r="G15" s="25"/>
      <c r="H15" s="23"/>
      <c r="I15" s="24"/>
      <c r="J15" s="24"/>
      <c r="K15" s="24"/>
      <c r="L15" s="25"/>
      <c r="M15" s="23"/>
      <c r="N15" s="24"/>
      <c r="O15" s="24"/>
      <c r="P15" s="24"/>
      <c r="Q15" s="25"/>
    </row>
    <row r="16" spans="2:22" s="24" customFormat="1" x14ac:dyDescent="0.75">
      <c r="B16" s="23"/>
      <c r="G16" s="25"/>
      <c r="H16" s="23"/>
      <c r="L16" s="25"/>
      <c r="M16" s="23"/>
      <c r="Q16" s="25"/>
      <c r="R16"/>
      <c r="S16"/>
      <c r="T16"/>
      <c r="U16"/>
      <c r="V16"/>
    </row>
    <row r="17" spans="2:22" ht="15.5" thickBot="1" x14ac:dyDescent="0.9">
      <c r="B17" s="26"/>
      <c r="C17" s="27"/>
      <c r="D17" s="27"/>
      <c r="E17" s="27"/>
      <c r="F17" s="27"/>
      <c r="G17" s="28"/>
      <c r="H17" s="23"/>
      <c r="I17" s="24"/>
      <c r="J17" s="24"/>
      <c r="K17" s="24"/>
      <c r="L17" s="25"/>
      <c r="M17" s="23"/>
      <c r="N17" s="24"/>
      <c r="O17" s="24"/>
      <c r="P17" s="24"/>
      <c r="Q17" s="25"/>
      <c r="R17" s="24"/>
      <c r="S17" s="24"/>
      <c r="T17" s="24"/>
      <c r="U17" s="24"/>
      <c r="V17" s="24"/>
    </row>
    <row r="18" spans="2:22" x14ac:dyDescent="0.75">
      <c r="B18" s="20"/>
      <c r="C18" s="21"/>
      <c r="D18" s="21"/>
      <c r="E18" s="21"/>
      <c r="F18" s="21"/>
      <c r="G18" s="22"/>
      <c r="H18" s="20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2"/>
    </row>
    <row r="19" spans="2:22" x14ac:dyDescent="0.75">
      <c r="B19" s="23"/>
      <c r="C19" s="24" t="s">
        <v>22</v>
      </c>
      <c r="D19" s="24"/>
      <c r="E19" s="24"/>
      <c r="G19" s="25"/>
      <c r="H19" s="23"/>
      <c r="I19" s="24" t="s">
        <v>21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5"/>
    </row>
    <row r="20" spans="2:22" x14ac:dyDescent="0.75">
      <c r="B20" s="23"/>
      <c r="C20" s="24"/>
      <c r="D20" s="24"/>
      <c r="E20" s="24"/>
      <c r="G20" s="25"/>
      <c r="H20" s="23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5"/>
    </row>
    <row r="21" spans="2:22" ht="15.5" thickBot="1" x14ac:dyDescent="0.9">
      <c r="B21" s="23"/>
      <c r="C21" s="45" t="s">
        <v>15</v>
      </c>
      <c r="D21" s="45" t="s">
        <v>10</v>
      </c>
      <c r="E21" s="45"/>
      <c r="F21" s="45" t="s">
        <v>14</v>
      </c>
      <c r="G21" s="25"/>
      <c r="H21" s="23"/>
      <c r="I21" s="45" t="s">
        <v>15</v>
      </c>
      <c r="J21" s="45" t="s">
        <v>6</v>
      </c>
      <c r="K21" s="45" t="s">
        <v>0</v>
      </c>
      <c r="L21" s="45"/>
      <c r="M21" s="48" t="s">
        <v>7</v>
      </c>
      <c r="N21" s="48" t="s">
        <v>0</v>
      </c>
      <c r="O21" s="48"/>
      <c r="P21" s="45" t="s">
        <v>8</v>
      </c>
      <c r="Q21" s="45" t="s">
        <v>0</v>
      </c>
      <c r="R21" s="45"/>
      <c r="S21" s="45" t="s">
        <v>9</v>
      </c>
      <c r="T21" s="45" t="s">
        <v>0</v>
      </c>
      <c r="U21" s="45"/>
      <c r="V21" s="25"/>
    </row>
    <row r="22" spans="2:22" ht="15.5" thickBot="1" x14ac:dyDescent="0.9">
      <c r="B22" s="23"/>
      <c r="C22" s="24"/>
      <c r="D22" s="45" t="s">
        <v>11</v>
      </c>
      <c r="E22" s="45" t="s">
        <v>12</v>
      </c>
      <c r="F22" s="45" t="s">
        <v>13</v>
      </c>
      <c r="G22" s="25"/>
      <c r="H22" s="23"/>
      <c r="I22" s="24"/>
      <c r="J22" s="14" t="s">
        <v>1</v>
      </c>
      <c r="K22" s="15" t="s">
        <v>2</v>
      </c>
      <c r="L22" s="16" t="s">
        <v>3</v>
      </c>
      <c r="M22" s="14" t="s">
        <v>1</v>
      </c>
      <c r="N22" s="15" t="s">
        <v>2</v>
      </c>
      <c r="O22" s="16" t="s">
        <v>3</v>
      </c>
      <c r="P22" s="14" t="s">
        <v>1</v>
      </c>
      <c r="Q22" s="15" t="s">
        <v>2</v>
      </c>
      <c r="R22" s="16" t="s">
        <v>3</v>
      </c>
      <c r="S22" s="14" t="s">
        <v>1</v>
      </c>
      <c r="T22" s="15" t="s">
        <v>2</v>
      </c>
      <c r="U22" s="16" t="s">
        <v>3</v>
      </c>
      <c r="V22" s="25"/>
    </row>
    <row r="23" spans="2:22" x14ac:dyDescent="0.75">
      <c r="B23" s="23"/>
      <c r="C23" s="17" t="s">
        <v>16</v>
      </c>
      <c r="D23" s="20">
        <v>6</v>
      </c>
      <c r="E23" s="21">
        <v>5</v>
      </c>
      <c r="F23" s="22">
        <v>0</v>
      </c>
      <c r="G23" s="25"/>
      <c r="H23" s="23"/>
      <c r="I23" s="17" t="s">
        <v>16</v>
      </c>
      <c r="J23" s="11">
        <v>217</v>
      </c>
      <c r="K23" s="12">
        <v>142</v>
      </c>
      <c r="L23" s="13">
        <v>150</v>
      </c>
      <c r="M23" s="11">
        <v>202</v>
      </c>
      <c r="N23" s="12">
        <v>151</v>
      </c>
      <c r="O23" s="13">
        <v>131</v>
      </c>
      <c r="P23" s="11">
        <v>223</v>
      </c>
      <c r="Q23" s="12">
        <v>176</v>
      </c>
      <c r="R23" s="13">
        <v>174</v>
      </c>
      <c r="S23" s="11">
        <v>251</v>
      </c>
      <c r="T23" s="12">
        <v>189</v>
      </c>
      <c r="U23" s="13">
        <v>183</v>
      </c>
      <c r="V23" s="25"/>
    </row>
    <row r="24" spans="2:22" x14ac:dyDescent="0.75">
      <c r="B24" s="23"/>
      <c r="C24" s="18" t="s">
        <v>17</v>
      </c>
      <c r="D24" s="23">
        <v>13.5</v>
      </c>
      <c r="E24" s="24">
        <v>7</v>
      </c>
      <c r="F24" s="25">
        <f>180-34.85</f>
        <v>145.15</v>
      </c>
      <c r="G24" s="25"/>
      <c r="H24" s="23"/>
      <c r="I24" s="18" t="s">
        <v>17</v>
      </c>
      <c r="J24" s="6">
        <v>523</v>
      </c>
      <c r="K24" s="1">
        <v>480</v>
      </c>
      <c r="L24" s="7">
        <v>401</v>
      </c>
      <c r="M24" s="6">
        <v>487</v>
      </c>
      <c r="N24" s="1">
        <v>476</v>
      </c>
      <c r="O24" s="7">
        <v>393</v>
      </c>
      <c r="P24" s="6">
        <v>502</v>
      </c>
      <c r="Q24" s="1">
        <v>367</v>
      </c>
      <c r="R24" s="7">
        <v>322</v>
      </c>
      <c r="S24" s="6">
        <v>472</v>
      </c>
      <c r="T24" s="1">
        <v>428</v>
      </c>
      <c r="U24" s="7">
        <v>356</v>
      </c>
      <c r="V24" s="25"/>
    </row>
    <row r="25" spans="2:22" x14ac:dyDescent="0.75">
      <c r="B25" s="23"/>
      <c r="C25" s="18" t="s">
        <v>18</v>
      </c>
      <c r="D25" s="23">
        <v>18.5</v>
      </c>
      <c r="E25" s="24">
        <v>6</v>
      </c>
      <c r="F25" s="25">
        <f>270+ 16.6</f>
        <v>286.60000000000002</v>
      </c>
      <c r="G25" s="25"/>
      <c r="H25" s="23"/>
      <c r="I25" s="18" t="s">
        <v>18</v>
      </c>
      <c r="J25" s="6">
        <v>567</v>
      </c>
      <c r="K25" s="1">
        <v>581</v>
      </c>
      <c r="L25" s="7">
        <v>418</v>
      </c>
      <c r="M25" s="6">
        <v>555</v>
      </c>
      <c r="N25" s="1">
        <v>578</v>
      </c>
      <c r="O25" s="7">
        <v>446</v>
      </c>
      <c r="P25" s="6">
        <v>624</v>
      </c>
      <c r="Q25" s="1">
        <v>611</v>
      </c>
      <c r="R25" s="7">
        <v>489</v>
      </c>
      <c r="S25" s="6">
        <v>600</v>
      </c>
      <c r="T25" s="1">
        <v>617</v>
      </c>
      <c r="U25" s="7">
        <v>461</v>
      </c>
      <c r="V25" s="25"/>
    </row>
    <row r="26" spans="2:22" x14ac:dyDescent="0.75">
      <c r="B26" s="23"/>
      <c r="C26" s="18" t="s">
        <v>19</v>
      </c>
      <c r="D26" s="23">
        <v>23.5</v>
      </c>
      <c r="E26" s="24">
        <v>10</v>
      </c>
      <c r="F26" s="25">
        <v>270</v>
      </c>
      <c r="G26" s="25"/>
      <c r="H26" s="23"/>
      <c r="I26" s="18" t="s">
        <v>19</v>
      </c>
      <c r="J26" s="6">
        <v>753</v>
      </c>
      <c r="K26" s="1">
        <v>708</v>
      </c>
      <c r="L26" s="7">
        <v>635</v>
      </c>
      <c r="M26" s="6">
        <v>811</v>
      </c>
      <c r="N26" s="1">
        <v>746</v>
      </c>
      <c r="O26" s="7">
        <v>703</v>
      </c>
      <c r="P26" s="6">
        <v>808</v>
      </c>
      <c r="Q26" s="1">
        <v>836</v>
      </c>
      <c r="R26" s="7">
        <v>705</v>
      </c>
      <c r="S26" s="6">
        <v>825</v>
      </c>
      <c r="T26" s="1">
        <v>712</v>
      </c>
      <c r="U26" s="7">
        <v>648</v>
      </c>
      <c r="V26" s="25"/>
    </row>
    <row r="27" spans="2:22" ht="15.5" thickBot="1" x14ac:dyDescent="0.9">
      <c r="B27" s="23"/>
      <c r="C27" s="19" t="s">
        <v>20</v>
      </c>
      <c r="D27" s="26">
        <v>12</v>
      </c>
      <c r="E27" s="27">
        <v>1</v>
      </c>
      <c r="F27" s="28">
        <v>180</v>
      </c>
      <c r="G27" s="25"/>
      <c r="H27" s="23"/>
      <c r="I27" s="19" t="s">
        <v>20</v>
      </c>
      <c r="J27" s="8">
        <v>423</v>
      </c>
      <c r="K27" s="9">
        <v>466</v>
      </c>
      <c r="L27" s="10">
        <v>307</v>
      </c>
      <c r="M27" s="8">
        <v>412</v>
      </c>
      <c r="N27" s="9">
        <v>427</v>
      </c>
      <c r="O27" s="10">
        <v>296</v>
      </c>
      <c r="P27" s="8">
        <v>356</v>
      </c>
      <c r="Q27" s="9">
        <v>375</v>
      </c>
      <c r="R27" s="10">
        <v>220</v>
      </c>
      <c r="S27" s="8">
        <v>251</v>
      </c>
      <c r="T27" s="9">
        <v>403</v>
      </c>
      <c r="U27" s="10">
        <v>213</v>
      </c>
      <c r="V27" s="25"/>
    </row>
    <row r="28" spans="2:22" x14ac:dyDescent="0.75">
      <c r="B28" s="23"/>
      <c r="C28" s="24"/>
      <c r="D28" s="24"/>
      <c r="E28" s="24"/>
      <c r="G28" s="25"/>
      <c r="H28" s="23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5"/>
    </row>
    <row r="29" spans="2:22" x14ac:dyDescent="0.75">
      <c r="B29" s="23"/>
      <c r="C29" s="24"/>
      <c r="D29" s="24"/>
      <c r="E29" s="24"/>
      <c r="G29" s="25"/>
      <c r="H29" s="23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5"/>
    </row>
    <row r="30" spans="2:22" ht="15.5" thickBot="1" x14ac:dyDescent="0.9">
      <c r="B30" s="26"/>
      <c r="C30" s="27"/>
      <c r="D30" s="27"/>
      <c r="E30" s="27"/>
      <c r="F30" s="27"/>
      <c r="G30" s="28"/>
      <c r="H30" s="26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8"/>
    </row>
  </sheetData>
  <mergeCells count="3">
    <mergeCell ref="I2:J2"/>
    <mergeCell ref="N2:O2"/>
    <mergeCell ref="N3: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Moncheck</dc:creator>
  <cp:lastModifiedBy>Evan Moncheck</cp:lastModifiedBy>
  <dcterms:created xsi:type="dcterms:W3CDTF">2026-04-20T18:02:00Z</dcterms:created>
  <dcterms:modified xsi:type="dcterms:W3CDTF">2026-04-20T19:16:00Z</dcterms:modified>
</cp:coreProperties>
</file>