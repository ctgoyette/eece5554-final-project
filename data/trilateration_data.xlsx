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ew Geisel\Documents\GitHub\eece5554-final-project\data\"/>
    </mc:Choice>
  </mc:AlternateContent>
  <xr:revisionPtr revIDLastSave="0" documentId="13_ncr:1_{7B0AF3E7-E2AE-41CB-BE32-AEA175325849}" xr6:coauthVersionLast="47" xr6:coauthVersionMax="47" xr10:uidLastSave="{00000000-0000-0000-0000-000000000000}"/>
  <bookViews>
    <workbookView xWindow="-96" yWindow="-96" windowWidth="23232" windowHeight="13872" xr2:uid="{ECF9459F-14D8-4B26-8035-2E30A54B08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4" i="1" l="1"/>
  <c r="E35" i="1"/>
  <c r="E36" i="1"/>
  <c r="E37" i="1"/>
  <c r="E38" i="1"/>
  <c r="E39" i="1"/>
  <c r="E40" i="1"/>
  <c r="E41" i="1"/>
  <c r="E42" i="1"/>
  <c r="E33" i="1"/>
  <c r="D34" i="1"/>
  <c r="D35" i="1"/>
  <c r="D36" i="1"/>
  <c r="D37" i="1"/>
  <c r="D38" i="1"/>
  <c r="D39" i="1"/>
  <c r="D40" i="1"/>
  <c r="D41" i="1"/>
  <c r="D42" i="1"/>
  <c r="D33" i="1"/>
  <c r="C34" i="1"/>
  <c r="C35" i="1"/>
  <c r="C36" i="1"/>
  <c r="C37" i="1"/>
  <c r="C38" i="1"/>
  <c r="C39" i="1"/>
  <c r="C40" i="1"/>
  <c r="C41" i="1"/>
  <c r="C42" i="1"/>
  <c r="C33" i="1"/>
  <c r="F25" i="1"/>
  <c r="F24" i="1"/>
</calcChain>
</file>

<file path=xl/sharedStrings.xml><?xml version="1.0" encoding="utf-8"?>
<sst xmlns="http://schemas.openxmlformats.org/spreadsheetml/2006/main" count="58" uniqueCount="35">
  <si>
    <t>cm</t>
  </si>
  <si>
    <t>id0</t>
  </si>
  <si>
    <t>id1</t>
  </si>
  <si>
    <t>id2</t>
  </si>
  <si>
    <t>calibration data</t>
  </si>
  <si>
    <t>anchor locations</t>
  </si>
  <si>
    <t>corner 1</t>
  </si>
  <si>
    <t>corner 2</t>
  </si>
  <si>
    <t>corner 3</t>
  </si>
  <si>
    <t>corner 4</t>
  </si>
  <si>
    <t>robot origin</t>
  </si>
  <si>
    <t>x (ft)</t>
  </si>
  <si>
    <t>y (ft)</t>
  </si>
  <si>
    <t>theta (degree)</t>
  </si>
  <si>
    <t>pose</t>
  </si>
  <si>
    <t>TEST</t>
  </si>
  <si>
    <t>A</t>
  </si>
  <si>
    <t>B</t>
  </si>
  <si>
    <t>C</t>
  </si>
  <si>
    <t>D</t>
  </si>
  <si>
    <t>E</t>
  </si>
  <si>
    <t>Data Collected</t>
  </si>
  <si>
    <t>Ground Truth</t>
  </si>
  <si>
    <t>ground truth (ft)</t>
  </si>
  <si>
    <t>id0 (cm)</t>
  </si>
  <si>
    <t>id1 (cm)</t>
  </si>
  <si>
    <t>id2 (cm)</t>
  </si>
  <si>
    <t>robot geometry</t>
  </si>
  <si>
    <t>corner</t>
  </si>
  <si>
    <t>relative to defined origin</t>
  </si>
  <si>
    <t>x (in)</t>
  </si>
  <si>
    <t>y (in)</t>
  </si>
  <si>
    <t>Corrected Reading id0(ft)</t>
  </si>
  <si>
    <t>Corrected Reading id1(ft)</t>
  </si>
  <si>
    <t>Corrected Reading id2(ft)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</si>
</sst>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3" borderId="1" xfId="0" applyFill="1" applyBorder="1"/>
    <xf numFmtId="0" fontId="0" fillId="2" borderId="3" xfId="0" applyFill="1" applyBorder="1"/>
    <xf numFmtId="0" fontId="0" fillId="2" borderId="4" xfId="0" applyFill="1" applyBorder="1"/>
    <xf numFmtId="0" fontId="0" fillId="3" borderId="5" xfId="0" applyFill="1" applyBorder="1"/>
    <xf numFmtId="0" fontId="0" fillId="4" borderId="6" xfId="0" applyFill="1" applyBorder="1"/>
    <xf numFmtId="0" fontId="0" fillId="2" borderId="7" xfId="0" applyFill="1" applyBorder="1"/>
    <xf numFmtId="0" fontId="0" fillId="4" borderId="8" xfId="0" applyFill="1" applyBorder="1"/>
    <xf numFmtId="0" fontId="0" fillId="2" borderId="9" xfId="0" applyFill="1" applyBorder="1"/>
    <xf numFmtId="0" fontId="0" fillId="3" borderId="10" xfId="0" applyFill="1" applyBorder="1"/>
    <xf numFmtId="0" fontId="0" fillId="4" borderId="11" xfId="0" applyFill="1" applyBorder="1"/>
    <xf numFmtId="0" fontId="0" fillId="2" borderId="12" xfId="0" applyFill="1" applyBorder="1"/>
    <xf numFmtId="0" fontId="0" fillId="3" borderId="13" xfId="0" applyFill="1" applyBorder="1"/>
    <xf numFmtId="0" fontId="0" fillId="4" borderId="14" xfId="0" applyFill="1" applyBorder="1"/>
    <xf numFmtId="0" fontId="1" fillId="2" borderId="15" xfId="0" applyFont="1" applyFill="1" applyBorder="1"/>
    <xf numFmtId="0" fontId="1" fillId="3" borderId="16" xfId="0" applyFont="1" applyFill="1" applyBorder="1"/>
    <xf numFmtId="0" fontId="1" fillId="4" borderId="17" xfId="0" applyFont="1" applyFill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2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4" borderId="9" xfId="0" applyFill="1" applyBorder="1"/>
    <xf numFmtId="0" fontId="1" fillId="2" borderId="29" xfId="0" applyFont="1" applyFill="1" applyBorder="1"/>
    <xf numFmtId="0" fontId="1" fillId="3" borderId="30" xfId="0" applyFont="1" applyFill="1" applyBorder="1"/>
    <xf numFmtId="0" fontId="1" fillId="4" borderId="31" xfId="0" applyFont="1" applyFill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1" fillId="0" borderId="26" xfId="0" applyFont="1" applyBorder="1"/>
    <xf numFmtId="0" fontId="0" fillId="2" borderId="32" xfId="0" applyFill="1" applyBorder="1"/>
    <xf numFmtId="0" fontId="0" fillId="2" borderId="33" xfId="0" applyFill="1" applyBorder="1"/>
    <xf numFmtId="0" fontId="1" fillId="0" borderId="2" xfId="0" applyFont="1" applyBorder="1"/>
    <xf numFmtId="0" fontId="1" fillId="0" borderId="34" xfId="0" applyFont="1" applyBorder="1"/>
    <xf numFmtId="0" fontId="1" fillId="0" borderId="35" xfId="0" applyFont="1" applyBorder="1"/>
    <xf numFmtId="0" fontId="1" fillId="0" borderId="0" xfId="0" applyFont="1"/>
    <xf numFmtId="0" fontId="0" fillId="0" borderId="22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E577357-5C3A-4695-AE03-D07DACAD010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Sheet1!$D$5</c:f>
              <c:strCache>
                <c:ptCount val="1"/>
                <c:pt idx="0">
                  <c:v>id0 (cm)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295600927482698"/>
                  <c:y val="0.5987963089955329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Sheet1!$C$6:$C$15</c:f>
              <c:numCache>
                <c:formatCode>General</c:formatCode>
                <c:ptCount val="1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</c:numCache>
            </c:numRef>
          </c:xVal>
          <c:yVal>
            <c:numRef>
              <c:f>Sheet1!$D$6:$D$15</c:f>
              <c:numCache>
                <c:formatCode>General</c:formatCode>
                <c:ptCount val="10"/>
                <c:pt idx="0">
                  <c:v>48</c:v>
                </c:pt>
                <c:pt idx="1">
                  <c:v>111</c:v>
                </c:pt>
                <c:pt idx="2">
                  <c:v>165</c:v>
                </c:pt>
                <c:pt idx="3">
                  <c:v>228</c:v>
                </c:pt>
                <c:pt idx="4">
                  <c:v>288</c:v>
                </c:pt>
                <c:pt idx="5">
                  <c:v>356</c:v>
                </c:pt>
                <c:pt idx="6">
                  <c:v>420</c:v>
                </c:pt>
                <c:pt idx="7">
                  <c:v>483</c:v>
                </c:pt>
                <c:pt idx="8">
                  <c:v>552</c:v>
                </c:pt>
                <c:pt idx="9">
                  <c:v>650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D3-438A-9FD8-9AFFE5F68FEB}"/>
            </c:ext>
          </c:extLst>
        </c:ser>
        <c:ser>
          <c:idx val="1"/>
          <c:order val="1"/>
          <c:tx>
            <c:strRef>
              <c:f>Sheet1!$E$5</c:f>
              <c:strCache>
                <c:ptCount val="1"/>
                <c:pt idx="0">
                  <c:v>id1 (cm)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9997047938361415"/>
                  <c:y val="0.5994189484737074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Sheet1!$C$6:$C$15</c:f>
              <c:numCache>
                <c:formatCode>General</c:formatCode>
                <c:ptCount val="1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</c:numCache>
            </c:numRef>
          </c:xVal>
          <c:yVal>
            <c:numRef>
              <c:f>Sheet1!$E$6:$E$15</c:f>
              <c:numCache>
                <c:formatCode>General</c:formatCode>
                <c:ptCount val="10"/>
                <c:pt idx="0">
                  <c:v>48</c:v>
                </c:pt>
                <c:pt idx="1">
                  <c:v>110</c:v>
                </c:pt>
                <c:pt idx="2">
                  <c:v>174</c:v>
                </c:pt>
                <c:pt idx="3">
                  <c:v>228</c:v>
                </c:pt>
                <c:pt idx="4">
                  <c:v>288</c:v>
                </c:pt>
                <c:pt idx="5">
                  <c:v>352</c:v>
                </c:pt>
                <c:pt idx="6">
                  <c:v>427</c:v>
                </c:pt>
                <c:pt idx="7">
                  <c:v>463</c:v>
                </c:pt>
                <c:pt idx="8">
                  <c:v>564</c:v>
                </c:pt>
                <c:pt idx="9">
                  <c:v>630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D3-438A-9FD8-9AFFE5F68FEB}"/>
            </c:ext>
          </c:extLst>
        </c:ser>
        <c:ser>
          <c:idx val="2"/>
          <c:order val="2"/>
          <c:tx>
            <c:strRef>
              <c:f>Sheet1!$F$5</c:f>
              <c:strCache>
                <c:ptCount val="1"/>
                <c:pt idx="0">
                  <c:v>id2 (cm)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7665190764225788E-2"/>
                  <c:y val="0.5465591868818031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Sheet1!$C$6:$C$15</c:f>
              <c:numCache>
                <c:formatCode>General</c:formatCode>
                <c:ptCount val="1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</c:numCache>
            </c:numRef>
          </c:xVal>
          <c:yVal>
            <c:numRef>
              <c:f>Sheet1!$F$6:$F$15</c:f>
              <c:numCache>
                <c:formatCode>General</c:formatCode>
                <c:ptCount val="10"/>
                <c:pt idx="0">
                  <c:v>43</c:v>
                </c:pt>
                <c:pt idx="1">
                  <c:v>105</c:v>
                </c:pt>
                <c:pt idx="2">
                  <c:v>177</c:v>
                </c:pt>
                <c:pt idx="3">
                  <c:v>225</c:v>
                </c:pt>
                <c:pt idx="4">
                  <c:v>306</c:v>
                </c:pt>
                <c:pt idx="5">
                  <c:v>393</c:v>
                </c:pt>
                <c:pt idx="6">
                  <c:v>424</c:v>
                </c:pt>
                <c:pt idx="7">
                  <c:v>491</c:v>
                </c:pt>
                <c:pt idx="8">
                  <c:v>590</c:v>
                </c:pt>
                <c:pt idx="9">
                  <c:v>611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5D3-438A-9FD8-9AFFE5F68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8535568"/>
        <c:axId val="518536048"/>
      </c:scatterChart>
      <c:valAx>
        <c:axId val="51853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536048"/>
        <c:crosses val="autoZero"/>
        <c:crossBetween val="midCat"/>
      </c:valAx>
      <c:valAx>
        <c:axId val="51853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5355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566551</xdr:colOff>
      <xdr:row>16</xdr:row>
      <xdr:rowOff>38594</xdr:rowOff>
    </xdr:from>
    <xdr:to>
      <xdr:col>17</xdr:col>
      <xdr:colOff>148441</xdr:colOff>
      <xdr:row>34</xdr:row>
      <xdr:rowOff>108856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40F001-4362-4118-F890-CD94738379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0C2C4-62D6-4550-AD26-EC19A6843912}">
  <dimension ref="B1:V42"/>
  <sheetViews>
    <sheetView tabSelected="1" topLeftCell="A3" zoomScale="77" workbookViewId="0">
      <selection activeCell="G38" sqref="G38"/>
    </sheetView>
  </sheetViews>
  <sheetFormatPr defaultRowHeight="14.4" x14ac:dyDescent="0.55000000000000004"/>
  <cols>
    <col min="2" max="2" width="13.7890625" bestFit="1" customWidth="1"/>
    <col min="3" max="4" width="21.05078125" bestFit="1" customWidth="1"/>
    <col min="5" max="5" width="12.26171875" bestFit="1" customWidth="1"/>
    <col min="6" max="7" width="9.15625" customWidth="1"/>
    <col min="12" max="12" width="11.47265625" bestFit="1" customWidth="1"/>
    <col min="13" max="13" width="10.15625" bestFit="1" customWidth="1"/>
    <col min="15" max="15" width="11.7890625" customWidth="1"/>
  </cols>
  <sheetData>
    <row r="1" spans="2:17" ht="14.7" thickBot="1" x14ac:dyDescent="0.6"/>
    <row r="2" spans="2:17" x14ac:dyDescent="0.55000000000000004">
      <c r="B2" s="20"/>
      <c r="C2" s="21" t="s">
        <v>4</v>
      </c>
      <c r="D2" s="21"/>
      <c r="E2" s="21"/>
      <c r="F2" s="21"/>
      <c r="G2" s="22"/>
      <c r="H2" s="20"/>
      <c r="I2" s="45" t="s">
        <v>5</v>
      </c>
      <c r="J2" s="45"/>
      <c r="K2" s="21"/>
      <c r="L2" s="22"/>
      <c r="M2" s="20"/>
      <c r="N2" s="45" t="s">
        <v>27</v>
      </c>
      <c r="O2" s="45"/>
      <c r="P2" s="21"/>
      <c r="Q2" s="22"/>
    </row>
    <row r="3" spans="2:17" x14ac:dyDescent="0.55000000000000004">
      <c r="B3" s="23"/>
      <c r="G3" s="24"/>
      <c r="H3" s="23"/>
      <c r="L3" s="24"/>
      <c r="M3" s="23"/>
      <c r="N3" s="46" t="s">
        <v>29</v>
      </c>
      <c r="O3" s="46"/>
      <c r="Q3" s="24"/>
    </row>
    <row r="4" spans="2:17" ht="14.7" thickBot="1" x14ac:dyDescent="0.6">
      <c r="B4" s="23"/>
      <c r="C4" s="44"/>
      <c r="D4" s="44"/>
      <c r="E4" s="44"/>
      <c r="F4" s="44"/>
      <c r="G4" s="24"/>
      <c r="H4" s="23"/>
      <c r="L4" s="24"/>
      <c r="M4" s="23"/>
      <c r="Q4" s="24"/>
    </row>
    <row r="5" spans="2:17" ht="14.7" thickBot="1" x14ac:dyDescent="0.6">
      <c r="B5" s="23"/>
      <c r="C5" s="41" t="s">
        <v>23</v>
      </c>
      <c r="D5" s="35" t="s">
        <v>24</v>
      </c>
      <c r="E5" s="35" t="s">
        <v>25</v>
      </c>
      <c r="F5" s="36" t="s">
        <v>26</v>
      </c>
      <c r="G5" s="24"/>
      <c r="H5" s="23"/>
      <c r="I5" s="44"/>
      <c r="J5" s="42" t="s">
        <v>11</v>
      </c>
      <c r="K5" s="43" t="s">
        <v>12</v>
      </c>
      <c r="L5" s="24"/>
      <c r="M5" s="23"/>
      <c r="N5" s="41" t="s">
        <v>28</v>
      </c>
      <c r="O5" s="35" t="s">
        <v>30</v>
      </c>
      <c r="P5" s="36" t="s">
        <v>31</v>
      </c>
      <c r="Q5" s="24"/>
    </row>
    <row r="6" spans="2:17" x14ac:dyDescent="0.55000000000000004">
      <c r="B6" s="23"/>
      <c r="C6" s="18">
        <v>2</v>
      </c>
      <c r="D6" s="39">
        <v>48</v>
      </c>
      <c r="E6" s="4">
        <v>48</v>
      </c>
      <c r="F6" s="5">
        <v>43</v>
      </c>
      <c r="G6" s="24"/>
      <c r="H6" s="23"/>
      <c r="I6" s="32" t="s">
        <v>1</v>
      </c>
      <c r="J6" s="3">
        <v>0</v>
      </c>
      <c r="K6" s="28">
        <v>0</v>
      </c>
      <c r="L6" s="24"/>
      <c r="M6" s="23"/>
      <c r="N6" s="37">
        <v>1</v>
      </c>
      <c r="O6" s="20">
        <v>20</v>
      </c>
      <c r="P6" s="22">
        <v>-7</v>
      </c>
      <c r="Q6" s="24"/>
    </row>
    <row r="7" spans="2:17" x14ac:dyDescent="0.55000000000000004">
      <c r="B7" s="23"/>
      <c r="C7" s="18">
        <v>4</v>
      </c>
      <c r="D7" s="2">
        <v>111</v>
      </c>
      <c r="E7" s="1">
        <v>110</v>
      </c>
      <c r="F7" s="7">
        <v>105</v>
      </c>
      <c r="G7" s="24"/>
      <c r="H7" s="23"/>
      <c r="I7" s="33" t="s">
        <v>2</v>
      </c>
      <c r="J7" s="29">
        <v>0</v>
      </c>
      <c r="K7" s="30">
        <v>4.5</v>
      </c>
      <c r="L7" s="24"/>
      <c r="M7" s="23"/>
      <c r="N7" s="37">
        <v>2</v>
      </c>
      <c r="O7" s="23">
        <v>20</v>
      </c>
      <c r="P7" s="24">
        <v>7</v>
      </c>
      <c r="Q7" s="24"/>
    </row>
    <row r="8" spans="2:17" ht="14.7" thickBot="1" x14ac:dyDescent="0.6">
      <c r="B8" s="23"/>
      <c r="C8" s="18">
        <v>6</v>
      </c>
      <c r="D8" s="2">
        <v>165</v>
      </c>
      <c r="E8" s="1">
        <v>174</v>
      </c>
      <c r="F8" s="7">
        <v>177</v>
      </c>
      <c r="G8" s="24"/>
      <c r="H8" s="23"/>
      <c r="I8" s="34" t="s">
        <v>3</v>
      </c>
      <c r="J8" s="31">
        <v>4.5</v>
      </c>
      <c r="K8" s="10">
        <v>0</v>
      </c>
      <c r="L8" s="24"/>
      <c r="M8" s="23"/>
      <c r="N8" s="37">
        <v>3</v>
      </c>
      <c r="O8" s="23">
        <v>0</v>
      </c>
      <c r="P8" s="24">
        <v>7</v>
      </c>
      <c r="Q8" s="24"/>
    </row>
    <row r="9" spans="2:17" ht="14.7" thickBot="1" x14ac:dyDescent="0.6">
      <c r="B9" s="23"/>
      <c r="C9" s="18">
        <v>8</v>
      </c>
      <c r="D9" s="2">
        <v>228</v>
      </c>
      <c r="E9" s="1">
        <v>228</v>
      </c>
      <c r="F9" s="7">
        <v>225</v>
      </c>
      <c r="G9" s="24"/>
      <c r="H9" s="23"/>
      <c r="L9" s="24"/>
      <c r="M9" s="23"/>
      <c r="N9" s="38">
        <v>4</v>
      </c>
      <c r="O9" s="25">
        <v>0</v>
      </c>
      <c r="P9" s="27">
        <v>-7</v>
      </c>
      <c r="Q9" s="24"/>
    </row>
    <row r="10" spans="2:17" x14ac:dyDescent="0.55000000000000004">
      <c r="B10" s="23"/>
      <c r="C10" s="18">
        <v>10</v>
      </c>
      <c r="D10" s="2">
        <v>288</v>
      </c>
      <c r="E10" s="1">
        <v>288</v>
      </c>
      <c r="F10" s="7">
        <v>306</v>
      </c>
      <c r="G10" s="24"/>
      <c r="H10" s="23"/>
      <c r="L10" s="24"/>
      <c r="M10" s="23"/>
      <c r="Q10" s="24"/>
    </row>
    <row r="11" spans="2:17" x14ac:dyDescent="0.55000000000000004">
      <c r="B11" s="23"/>
      <c r="C11" s="18">
        <v>12</v>
      </c>
      <c r="D11" s="2">
        <v>356</v>
      </c>
      <c r="E11" s="1">
        <v>352</v>
      </c>
      <c r="F11" s="7">
        <v>393</v>
      </c>
      <c r="G11" s="24"/>
      <c r="H11" s="23"/>
      <c r="L11" s="24"/>
      <c r="M11" s="23"/>
      <c r="Q11" s="24"/>
    </row>
    <row r="12" spans="2:17" x14ac:dyDescent="0.55000000000000004">
      <c r="B12" s="23"/>
      <c r="C12" s="18">
        <v>14</v>
      </c>
      <c r="D12" s="2">
        <v>420</v>
      </c>
      <c r="E12" s="1">
        <v>427</v>
      </c>
      <c r="F12" s="7">
        <v>424</v>
      </c>
      <c r="G12" s="24"/>
      <c r="H12" s="23"/>
      <c r="L12" s="24"/>
      <c r="M12" s="23"/>
      <c r="Q12" s="24"/>
    </row>
    <row r="13" spans="2:17" x14ac:dyDescent="0.55000000000000004">
      <c r="B13" s="23"/>
      <c r="C13" s="18">
        <v>16</v>
      </c>
      <c r="D13" s="2">
        <v>483</v>
      </c>
      <c r="E13" s="1">
        <v>463</v>
      </c>
      <c r="F13" s="7">
        <v>491</v>
      </c>
      <c r="G13" s="24"/>
      <c r="H13" s="23"/>
      <c r="L13" s="24"/>
      <c r="M13" s="23"/>
      <c r="Q13" s="24"/>
    </row>
    <row r="14" spans="2:17" x14ac:dyDescent="0.55000000000000004">
      <c r="B14" s="23"/>
      <c r="C14" s="18">
        <v>18</v>
      </c>
      <c r="D14" s="2">
        <v>552</v>
      </c>
      <c r="E14" s="1">
        <v>564</v>
      </c>
      <c r="F14" s="7">
        <v>590</v>
      </c>
      <c r="G14" s="24"/>
      <c r="H14" s="23"/>
      <c r="L14" s="24"/>
      <c r="M14" s="23"/>
      <c r="Q14" s="24"/>
    </row>
    <row r="15" spans="2:17" ht="14.7" thickBot="1" x14ac:dyDescent="0.6">
      <c r="B15" s="23"/>
      <c r="C15" s="19">
        <v>20</v>
      </c>
      <c r="D15" s="40">
        <v>650</v>
      </c>
      <c r="E15" s="9">
        <v>630</v>
      </c>
      <c r="F15" s="10">
        <v>611</v>
      </c>
      <c r="G15" s="24"/>
      <c r="H15" s="23"/>
      <c r="L15" s="24"/>
      <c r="M15" s="23"/>
      <c r="Q15" s="24"/>
    </row>
    <row r="16" spans="2:17" x14ac:dyDescent="0.55000000000000004">
      <c r="B16" s="23"/>
      <c r="G16" s="24"/>
      <c r="H16" s="23"/>
      <c r="L16" s="24"/>
      <c r="M16" s="23"/>
      <c r="Q16" s="24"/>
    </row>
    <row r="17" spans="2:22" ht="14.7" thickBot="1" x14ac:dyDescent="0.6">
      <c r="B17" s="25"/>
      <c r="C17" s="26"/>
      <c r="D17" s="26"/>
      <c r="E17" s="26"/>
      <c r="F17" s="26"/>
      <c r="G17" s="27"/>
      <c r="H17" s="23"/>
      <c r="L17" s="24"/>
      <c r="M17" s="23"/>
      <c r="Q17" s="24"/>
    </row>
    <row r="18" spans="2:22" x14ac:dyDescent="0.55000000000000004">
      <c r="B18" s="20"/>
      <c r="C18" s="21"/>
      <c r="D18" s="21"/>
      <c r="E18" s="21"/>
      <c r="F18" s="21"/>
      <c r="G18" s="22"/>
      <c r="H18" s="20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2"/>
    </row>
    <row r="19" spans="2:22" x14ac:dyDescent="0.55000000000000004">
      <c r="B19" s="23"/>
      <c r="C19" t="s">
        <v>22</v>
      </c>
      <c r="G19" s="24"/>
      <c r="H19" s="23"/>
      <c r="I19" t="s">
        <v>21</v>
      </c>
      <c r="V19" s="24"/>
    </row>
    <row r="20" spans="2:22" x14ac:dyDescent="0.55000000000000004">
      <c r="B20" s="23"/>
      <c r="G20" s="24"/>
      <c r="H20" s="23"/>
      <c r="V20" s="24"/>
    </row>
    <row r="21" spans="2:22" ht="14.7" thickBot="1" x14ac:dyDescent="0.6">
      <c r="B21" s="23"/>
      <c r="C21" s="44" t="s">
        <v>15</v>
      </c>
      <c r="D21" s="44" t="s">
        <v>10</v>
      </c>
      <c r="E21" s="44"/>
      <c r="F21" s="44" t="s">
        <v>14</v>
      </c>
      <c r="G21" s="24"/>
      <c r="H21" s="23"/>
      <c r="I21" s="44" t="s">
        <v>15</v>
      </c>
      <c r="J21" s="44" t="s">
        <v>6</v>
      </c>
      <c r="K21" s="44" t="s">
        <v>0</v>
      </c>
      <c r="L21" s="44"/>
      <c r="M21" s="44" t="s">
        <v>7</v>
      </c>
      <c r="N21" s="44" t="s">
        <v>0</v>
      </c>
      <c r="O21" s="44"/>
      <c r="P21" s="44" t="s">
        <v>8</v>
      </c>
      <c r="Q21" s="44" t="s">
        <v>0</v>
      </c>
      <c r="R21" s="44"/>
      <c r="S21" s="44" t="s">
        <v>9</v>
      </c>
      <c r="T21" s="44" t="s">
        <v>0</v>
      </c>
      <c r="U21" s="44"/>
      <c r="V21" s="24"/>
    </row>
    <row r="22" spans="2:22" ht="14.7" thickBot="1" x14ac:dyDescent="0.6">
      <c r="B22" s="23"/>
      <c r="D22" s="44" t="s">
        <v>11</v>
      </c>
      <c r="E22" s="44" t="s">
        <v>12</v>
      </c>
      <c r="F22" s="44" t="s">
        <v>13</v>
      </c>
      <c r="G22" s="24"/>
      <c r="H22" s="23"/>
      <c r="J22" s="14" t="s">
        <v>1</v>
      </c>
      <c r="K22" s="15" t="s">
        <v>2</v>
      </c>
      <c r="L22" s="16" t="s">
        <v>3</v>
      </c>
      <c r="M22" s="14" t="s">
        <v>1</v>
      </c>
      <c r="N22" s="15" t="s">
        <v>2</v>
      </c>
      <c r="O22" s="16" t="s">
        <v>3</v>
      </c>
      <c r="P22" s="14" t="s">
        <v>1</v>
      </c>
      <c r="Q22" s="15" t="s">
        <v>2</v>
      </c>
      <c r="R22" s="16" t="s">
        <v>3</v>
      </c>
      <c r="S22" s="14" t="s">
        <v>1</v>
      </c>
      <c r="T22" s="15" t="s">
        <v>2</v>
      </c>
      <c r="U22" s="16" t="s">
        <v>3</v>
      </c>
      <c r="V22" s="24"/>
    </row>
    <row r="23" spans="2:22" x14ac:dyDescent="0.55000000000000004">
      <c r="B23" s="23"/>
      <c r="C23" s="17" t="s">
        <v>16</v>
      </c>
      <c r="D23" s="20">
        <v>6</v>
      </c>
      <c r="E23" s="21">
        <v>5</v>
      </c>
      <c r="F23" s="22">
        <v>0</v>
      </c>
      <c r="G23" s="24"/>
      <c r="H23" s="23"/>
      <c r="I23" s="17" t="s">
        <v>16</v>
      </c>
      <c r="J23" s="11">
        <v>217</v>
      </c>
      <c r="K23" s="12">
        <v>142</v>
      </c>
      <c r="L23" s="13">
        <v>150</v>
      </c>
      <c r="M23" s="11">
        <v>202</v>
      </c>
      <c r="N23" s="12">
        <v>151</v>
      </c>
      <c r="O23" s="13">
        <v>131</v>
      </c>
      <c r="P23" s="11">
        <v>223</v>
      </c>
      <c r="Q23" s="12">
        <v>176</v>
      </c>
      <c r="R23" s="13">
        <v>174</v>
      </c>
      <c r="S23" s="11">
        <v>251</v>
      </c>
      <c r="T23" s="12">
        <v>189</v>
      </c>
      <c r="U23" s="13">
        <v>183</v>
      </c>
      <c r="V23" s="24"/>
    </row>
    <row r="24" spans="2:22" x14ac:dyDescent="0.55000000000000004">
      <c r="B24" s="23"/>
      <c r="C24" s="18" t="s">
        <v>17</v>
      </c>
      <c r="D24" s="23">
        <v>13.5</v>
      </c>
      <c r="E24">
        <v>7</v>
      </c>
      <c r="F24" s="24">
        <f>180-34.85</f>
        <v>145.15</v>
      </c>
      <c r="G24" s="24"/>
      <c r="H24" s="23"/>
      <c r="I24" s="18" t="s">
        <v>17</v>
      </c>
      <c r="J24" s="6">
        <v>523</v>
      </c>
      <c r="K24" s="1">
        <v>480</v>
      </c>
      <c r="L24" s="7">
        <v>401</v>
      </c>
      <c r="M24" s="6">
        <v>487</v>
      </c>
      <c r="N24" s="1">
        <v>476</v>
      </c>
      <c r="O24" s="7">
        <v>393</v>
      </c>
      <c r="P24" s="6">
        <v>502</v>
      </c>
      <c r="Q24" s="1">
        <v>367</v>
      </c>
      <c r="R24" s="7">
        <v>322</v>
      </c>
      <c r="S24" s="6">
        <v>472</v>
      </c>
      <c r="T24" s="1">
        <v>428</v>
      </c>
      <c r="U24" s="7">
        <v>356</v>
      </c>
      <c r="V24" s="24"/>
    </row>
    <row r="25" spans="2:22" x14ac:dyDescent="0.55000000000000004">
      <c r="B25" s="23"/>
      <c r="C25" s="18" t="s">
        <v>18</v>
      </c>
      <c r="D25" s="23">
        <v>18.5</v>
      </c>
      <c r="E25">
        <v>6</v>
      </c>
      <c r="F25" s="24">
        <f>270+ 16.6</f>
        <v>286.60000000000002</v>
      </c>
      <c r="G25" s="24"/>
      <c r="H25" s="23"/>
      <c r="I25" s="18" t="s">
        <v>18</v>
      </c>
      <c r="J25" s="6">
        <v>567</v>
      </c>
      <c r="K25" s="1">
        <v>581</v>
      </c>
      <c r="L25" s="7">
        <v>418</v>
      </c>
      <c r="M25" s="6">
        <v>555</v>
      </c>
      <c r="N25" s="1">
        <v>578</v>
      </c>
      <c r="O25" s="7">
        <v>446</v>
      </c>
      <c r="P25" s="6">
        <v>624</v>
      </c>
      <c r="Q25" s="1">
        <v>611</v>
      </c>
      <c r="R25" s="7">
        <v>489</v>
      </c>
      <c r="S25" s="6">
        <v>600</v>
      </c>
      <c r="T25" s="1">
        <v>617</v>
      </c>
      <c r="U25" s="7">
        <v>461</v>
      </c>
      <c r="V25" s="24"/>
    </row>
    <row r="26" spans="2:22" x14ac:dyDescent="0.55000000000000004">
      <c r="B26" s="23"/>
      <c r="C26" s="18" t="s">
        <v>19</v>
      </c>
      <c r="D26" s="23">
        <v>23.5</v>
      </c>
      <c r="E26">
        <v>10</v>
      </c>
      <c r="F26" s="24">
        <v>270</v>
      </c>
      <c r="G26" s="24"/>
      <c r="H26" s="23"/>
      <c r="I26" s="18" t="s">
        <v>19</v>
      </c>
      <c r="J26" s="6">
        <v>753</v>
      </c>
      <c r="K26" s="1">
        <v>708</v>
      </c>
      <c r="L26" s="7">
        <v>635</v>
      </c>
      <c r="M26" s="6">
        <v>811</v>
      </c>
      <c r="N26" s="1">
        <v>746</v>
      </c>
      <c r="O26" s="7">
        <v>703</v>
      </c>
      <c r="P26" s="6">
        <v>808</v>
      </c>
      <c r="Q26" s="1">
        <v>836</v>
      </c>
      <c r="R26" s="7">
        <v>705</v>
      </c>
      <c r="S26" s="6">
        <v>825</v>
      </c>
      <c r="T26" s="1">
        <v>712</v>
      </c>
      <c r="U26" s="7">
        <v>648</v>
      </c>
      <c r="V26" s="24"/>
    </row>
    <row r="27" spans="2:22" ht="14.7" thickBot="1" x14ac:dyDescent="0.6">
      <c r="B27" s="23"/>
      <c r="C27" s="19" t="s">
        <v>20</v>
      </c>
      <c r="D27" s="25">
        <v>12</v>
      </c>
      <c r="E27" s="26">
        <v>1</v>
      </c>
      <c r="F27" s="27">
        <v>180</v>
      </c>
      <c r="G27" s="24"/>
      <c r="H27" s="23"/>
      <c r="I27" s="19" t="s">
        <v>20</v>
      </c>
      <c r="J27" s="8">
        <v>423</v>
      </c>
      <c r="K27" s="9">
        <v>466</v>
      </c>
      <c r="L27" s="10">
        <v>307</v>
      </c>
      <c r="M27" s="8">
        <v>412</v>
      </c>
      <c r="N27" s="9">
        <v>427</v>
      </c>
      <c r="O27" s="10">
        <v>296</v>
      </c>
      <c r="P27" s="8">
        <v>356</v>
      </c>
      <c r="Q27" s="9">
        <v>375</v>
      </c>
      <c r="R27" s="10">
        <v>220</v>
      </c>
      <c r="S27" s="8">
        <v>251</v>
      </c>
      <c r="T27" s="9">
        <v>403</v>
      </c>
      <c r="U27" s="10">
        <v>213</v>
      </c>
      <c r="V27" s="24"/>
    </row>
    <row r="28" spans="2:22" x14ac:dyDescent="0.55000000000000004">
      <c r="B28" s="23"/>
      <c r="G28" s="24"/>
      <c r="H28" s="23"/>
      <c r="V28" s="24"/>
    </row>
    <row r="29" spans="2:22" x14ac:dyDescent="0.55000000000000004">
      <c r="B29" s="23"/>
      <c r="G29" s="24"/>
      <c r="H29" s="23"/>
      <c r="V29" s="24"/>
    </row>
    <row r="30" spans="2:22" ht="14.7" thickBot="1" x14ac:dyDescent="0.6">
      <c r="B30" s="25"/>
      <c r="C30" s="26"/>
      <c r="D30" s="26"/>
      <c r="E30" s="26"/>
      <c r="F30" s="26"/>
      <c r="G30" s="27"/>
      <c r="H30" s="25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7"/>
    </row>
    <row r="32" spans="2:22" x14ac:dyDescent="0.55000000000000004">
      <c r="C32" s="44" t="s">
        <v>32</v>
      </c>
      <c r="D32" s="44" t="s">
        <v>33</v>
      </c>
      <c r="E32" s="44" t="s">
        <v>34</v>
      </c>
    </row>
    <row r="33" spans="3:5" x14ac:dyDescent="0.55000000000000004">
      <c r="C33">
        <f>(D6+27.876)/32.542</f>
        <v>2.3316329666277427</v>
      </c>
      <c r="D33">
        <f>(E6+22.333)/31.885</f>
        <v>2.2058334640112904</v>
      </c>
      <c r="E33">
        <f>(F6+22.2)/32.609</f>
        <v>1.9994480051519519</v>
      </c>
    </row>
    <row r="34" spans="3:5" x14ac:dyDescent="0.55000000000000004">
      <c r="C34">
        <f t="shared" ref="C34:C46" si="0">(D7+27.876)/32.542</f>
        <v>4.2675926494991092</v>
      </c>
      <c r="D34">
        <f t="shared" ref="D34:D42" si="1">(E7+22.333)/31.885</f>
        <v>4.1503214677748153</v>
      </c>
      <c r="E34">
        <f t="shared" ref="E34:E42" si="2">(F7+22.2)/32.609</f>
        <v>3.9007635928731332</v>
      </c>
    </row>
    <row r="35" spans="3:5" x14ac:dyDescent="0.55000000000000004">
      <c r="C35">
        <f t="shared" si="0"/>
        <v>5.9269866633888508</v>
      </c>
      <c r="D35">
        <f t="shared" si="1"/>
        <v>6.1575348910145831</v>
      </c>
      <c r="E35">
        <f t="shared" si="2"/>
        <v>6.1087429850654722</v>
      </c>
    </row>
    <row r="36" spans="3:5" x14ac:dyDescent="0.55000000000000004">
      <c r="C36">
        <f t="shared" si="0"/>
        <v>7.8629463462602169</v>
      </c>
      <c r="D36">
        <f t="shared" si="1"/>
        <v>7.8511212168731372</v>
      </c>
      <c r="E36">
        <f t="shared" si="2"/>
        <v>7.5807292465270315</v>
      </c>
    </row>
    <row r="37" spans="3:5" x14ac:dyDescent="0.55000000000000004">
      <c r="C37">
        <f t="shared" si="0"/>
        <v>9.7067174728043746</v>
      </c>
      <c r="D37">
        <f t="shared" si="1"/>
        <v>9.7328838011604191</v>
      </c>
      <c r="E37">
        <f t="shared" si="2"/>
        <v>10.064706062743413</v>
      </c>
    </row>
    <row r="38" spans="3:5" x14ac:dyDescent="0.55000000000000004">
      <c r="C38">
        <f t="shared" si="0"/>
        <v>11.796324749554421</v>
      </c>
      <c r="D38">
        <f t="shared" si="1"/>
        <v>11.740097224400186</v>
      </c>
      <c r="E38">
        <f t="shared" si="2"/>
        <v>12.732681161642491</v>
      </c>
    </row>
    <row r="39" spans="3:5" x14ac:dyDescent="0.55000000000000004">
      <c r="C39">
        <f t="shared" si="0"/>
        <v>13.763013951201522</v>
      </c>
      <c r="D39">
        <f t="shared" si="1"/>
        <v>14.09230045475929</v>
      </c>
      <c r="E39">
        <f t="shared" si="2"/>
        <v>13.68333895550308</v>
      </c>
    </row>
    <row r="40" spans="3:5" x14ac:dyDescent="0.55000000000000004">
      <c r="C40">
        <f t="shared" si="0"/>
        <v>15.698973634072889</v>
      </c>
      <c r="D40">
        <f t="shared" si="1"/>
        <v>15.221358005331659</v>
      </c>
      <c r="E40">
        <f t="shared" si="2"/>
        <v>15.737986445459843</v>
      </c>
    </row>
    <row r="41" spans="3:5" x14ac:dyDescent="0.55000000000000004">
      <c r="C41">
        <f t="shared" si="0"/>
        <v>17.819310429598669</v>
      </c>
      <c r="D41">
        <f t="shared" si="1"/>
        <v>18.388991688881916</v>
      </c>
      <c r="E41">
        <f t="shared" si="2"/>
        <v>18.773958109724308</v>
      </c>
    </row>
    <row r="42" spans="3:5" x14ac:dyDescent="0.55000000000000004">
      <c r="C42">
        <f t="shared" si="0"/>
        <v>20.830803269620795</v>
      </c>
      <c r="D42">
        <f t="shared" si="1"/>
        <v>20.458930531597929</v>
      </c>
      <c r="E42">
        <f t="shared" si="2"/>
        <v>19.417952099113741</v>
      </c>
    </row>
  </sheetData>
  <mergeCells count="3">
    <mergeCell ref="I2:J2"/>
    <mergeCell ref="N2:O2"/>
    <mergeCell ref="N3:O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Moncheck</dc:creator>
  <cp:lastModifiedBy>Matthew Geisel</cp:lastModifiedBy>
  <dcterms:created xsi:type="dcterms:W3CDTF">2026-04-20T18:02:00Z</dcterms:created>
  <dcterms:modified xsi:type="dcterms:W3CDTF">2026-04-20T20:05:40Z</dcterms:modified>
</cp:coreProperties>
</file>